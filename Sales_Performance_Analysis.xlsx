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Sales_Summary" sheetId="2" r:id="rId6"/>
  </sheets>
  <definedNames/>
  <calcPr/>
</workbook>
</file>

<file path=xl/sharedStrings.xml><?xml version="1.0" encoding="utf-8"?>
<sst xmlns="http://schemas.openxmlformats.org/spreadsheetml/2006/main" count="102" uniqueCount="47">
  <si>
    <t>Order_ID</t>
  </si>
  <si>
    <t xml:space="preserve">Order_Date </t>
  </si>
  <si>
    <t xml:space="preserve">Product </t>
  </si>
  <si>
    <t>Category</t>
  </si>
  <si>
    <t>Quantity</t>
  </si>
  <si>
    <t>Unit Price GHC</t>
  </si>
  <si>
    <t>Location</t>
  </si>
  <si>
    <t>Revenue</t>
  </si>
  <si>
    <t>ORD-1001</t>
  </si>
  <si>
    <t>Rice</t>
  </si>
  <si>
    <t>Groceries</t>
  </si>
  <si>
    <t>Accra</t>
  </si>
  <si>
    <t>ORD-1002</t>
  </si>
  <si>
    <t>Cooking Oil</t>
  </si>
  <si>
    <t>Kumasi</t>
  </si>
  <si>
    <t>ORD-1003</t>
  </si>
  <si>
    <t>Soap</t>
  </si>
  <si>
    <t>Household</t>
  </si>
  <si>
    <t>ORD-1004</t>
  </si>
  <si>
    <t>Sugar</t>
  </si>
  <si>
    <t>Tema</t>
  </si>
  <si>
    <t>ORD-1005</t>
  </si>
  <si>
    <t>Detergent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</si>
  <si>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</si>
  <si>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</si>
  <si>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</si>
  <si>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</si>
  <si>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</si>
  <si>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</si>
  <si>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</si>
  <si>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</si>
  <si>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</si>
  <si>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</si>
  <si>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Sales Metric</t>
  </si>
  <si>
    <t>Value</t>
  </si>
  <si>
    <t>Product</t>
  </si>
  <si>
    <t>Total Revenue (GHC)</t>
  </si>
  <si>
    <t>Month</t>
  </si>
  <si>
    <t>Total Revenue</t>
  </si>
  <si>
    <t>Total Revenue (GHS)</t>
  </si>
  <si>
    <t>January</t>
  </si>
  <si>
    <t>Total Units Sold</t>
  </si>
  <si>
    <t>February</t>
  </si>
  <si>
    <t>Number of Transactions</t>
  </si>
  <si>
    <t>March</t>
  </si>
  <si>
    <t>Average Order Revenue (GHS)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</si>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</sst>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sz val="11.0"/>
      <color theme="1"/>
      <name val="Proxima Nov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les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Proxima Nova"/>
              </a:defRPr>
            </a:pPr>
            <a:r>
              <a:rPr b="1">
                <a:solidFill>
                  <a:schemeClr val="dk1"/>
                </a:solidFill>
                <a:latin typeface="Proxima Nova"/>
              </a:rPr>
              <a:t>Revenue by Product (GHS)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Sales_Summary!$E$1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Sales_Summary!$D$2:$D$6</c:f>
            </c:strRef>
          </c:cat>
          <c:val>
            <c:numRef>
              <c:f>Sales_Summary!$E$2:$E$6</c:f>
              <c:numCache/>
            </c:numRef>
          </c:val>
        </c:ser>
        <c:axId val="1088322002"/>
        <c:axId val="846884179"/>
      </c:barChart>
      <c:catAx>
        <c:axId val="10883220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Proxima Nova"/>
                  </a:defRPr>
                </a:pPr>
                <a:r>
                  <a:rPr b="0">
                    <a:solidFill>
                      <a:srgbClr val="000000"/>
                    </a:solidFill>
                    <a:latin typeface="Proxima Nova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Proxima Nova"/>
              </a:defRPr>
            </a:pPr>
          </a:p>
        </c:txPr>
        <c:crossAx val="846884179"/>
      </c:catAx>
      <c:valAx>
        <c:axId val="8468841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Proxima Nova"/>
                  </a:defRPr>
                </a:pPr>
                <a:r>
                  <a:rPr b="1">
                    <a:solidFill>
                      <a:srgbClr val="000000"/>
                    </a:solidFill>
                    <a:latin typeface="Proxima Nova"/>
                  </a:rPr>
                  <a:t>Total Revenue (GHC)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Proxima Nova"/>
              </a:defRPr>
            </a:pPr>
          </a:p>
        </c:txPr>
        <c:crossAx val="108832200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Proxima Nova"/>
              </a:defRPr>
            </a:pPr>
            <a:r>
              <a:rPr b="1">
                <a:solidFill>
                  <a:srgbClr val="757575"/>
                </a:solidFill>
                <a:latin typeface="Proxima Nova"/>
              </a:rPr>
              <a:t>Monthly Revenue Trend (GHS)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Sales_Summary!$H$1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Sales_Summary!$G$2:$G$4</c:f>
            </c:strRef>
          </c:cat>
          <c:val>
            <c:numRef>
              <c:f>Sales_Summary!$H$2:$H$4</c:f>
              <c:numCache/>
            </c:numRef>
          </c:val>
          <c:smooth val="0"/>
        </c:ser>
        <c:axId val="187028945"/>
        <c:axId val="290856928"/>
      </c:lineChart>
      <c:catAx>
        <c:axId val="187028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Proxima Nova"/>
                  </a:defRPr>
                </a:pPr>
                <a:r>
                  <a:rPr b="1">
                    <a:solidFill>
                      <a:srgbClr val="000000"/>
                    </a:solidFill>
                    <a:latin typeface="Proxima Nova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Proxima Nova"/>
              </a:defRPr>
            </a:pPr>
          </a:p>
        </c:txPr>
        <c:crossAx val="290856928"/>
      </c:catAx>
      <c:valAx>
        <c:axId val="2908569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Proxima Nova"/>
                  </a:defRPr>
                </a:pPr>
                <a:r>
                  <a:rPr b="1">
                    <a:solidFill>
                      <a:srgbClr val="000000"/>
                    </a:solidFill>
                    <a:latin typeface="Proxima Nova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Proxima Nova"/>
              </a:defRPr>
            </a:pPr>
          </a:p>
        </c:txPr>
        <c:crossAx val="1870289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Proxima Nova"/>
              </a:defRPr>
            </a:pPr>
            <a:r>
              <a:rPr b="1">
                <a:solidFill>
                  <a:srgbClr val="757575"/>
                </a:solidFill>
                <a:latin typeface="Proxima Nova"/>
              </a:rPr>
              <a:t>Revenue by Location (GHC)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Sales_Summary!$K$1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Sales_Summary!$J$2:$J$4</c:f>
            </c:strRef>
          </c:cat>
          <c:val>
            <c:numRef>
              <c:f>Sales_Summary!$K$2:$K$4</c:f>
              <c:numCache/>
            </c:numRef>
          </c:val>
        </c:ser>
        <c:axId val="1818836926"/>
        <c:axId val="413135217"/>
      </c:barChart>
      <c:catAx>
        <c:axId val="1818836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Proxima Nova"/>
                  </a:defRPr>
                </a:pPr>
                <a:r>
                  <a:rPr b="1">
                    <a:solidFill>
                      <a:srgbClr val="000000"/>
                    </a:solidFill>
                    <a:latin typeface="Proxima Nova"/>
                  </a:rPr>
                  <a:t>Location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Proxima Nova"/>
              </a:defRPr>
            </a:pPr>
          </a:p>
        </c:txPr>
        <c:crossAx val="413135217"/>
      </c:catAx>
      <c:valAx>
        <c:axId val="413135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Proxima Nova"/>
                  </a:defRPr>
                </a:pPr>
                <a:r>
                  <a:rPr b="1">
                    <a:solidFill>
                      <a:srgbClr val="000000"/>
                    </a:solidFill>
                    <a:latin typeface="Proxima Nova"/>
                  </a:rPr>
                  <a:t>Total Revenue (GHS)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Proxima Nova"/>
              </a:defRPr>
            </a:pPr>
          </a:p>
        </c:txPr>
        <c:crossAx val="18188369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9</xdr:row>
      <xdr:rowOff>19050</xdr:rowOff>
    </xdr:from>
    <xdr:ext cx="4943475" cy="3057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285750</xdr:colOff>
      <xdr:row>9</xdr:row>
      <xdr:rowOff>19050</xdr:rowOff>
    </xdr:from>
    <xdr:ext cx="4295775" cy="30575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9525</xdr:colOff>
      <xdr:row>8</xdr:row>
      <xdr:rowOff>9525</xdr:rowOff>
    </xdr:from>
    <xdr:ext cx="4467225" cy="30575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6" displayName="Sales_Data" name="Sales_Data" id="1">
  <tableColumns count="8">
    <tableColumn name="Order_ID" id="1"/>
    <tableColumn name="Order_Date " id="2"/>
    <tableColumn name="Product " id="3"/>
    <tableColumn name="Category" id="4"/>
    <tableColumn name="Quantity" id="5"/>
    <tableColumn name="Unit Price GHC" id="6"/>
    <tableColumn name="Location" id="7"/>
    <tableColumn name="Revenue" id="8"/>
  </tableColumns>
  <tableStyleInfo name="Sales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8.75"/>
    <col customWidth="1" min="4" max="4" width="16.13"/>
    <col customWidth="1" min="5" max="5" width="15.5"/>
    <col customWidth="1" min="6" max="6" width="20.88"/>
    <col customWidth="1" min="7" max="7" width="1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>
        <v>46027.0</v>
      </c>
      <c r="C2" s="3" t="s">
        <v>9</v>
      </c>
      <c r="D2" s="5" t="s">
        <v>10</v>
      </c>
      <c r="E2" s="6">
        <v>12.0</v>
      </c>
      <c r="F2" s="6">
        <v>25.0</v>
      </c>
      <c r="G2" s="5" t="s">
        <v>11</v>
      </c>
      <c r="H2" s="7">
        <f t="shared" ref="H2:H16" si="1">F2*E2</f>
        <v>300</v>
      </c>
    </row>
    <row r="3" ht="22.5" customHeight="1">
      <c r="A3" s="3" t="s">
        <v>12</v>
      </c>
      <c r="B3" s="4">
        <v>46029.0</v>
      </c>
      <c r="C3" s="3" t="s">
        <v>13</v>
      </c>
      <c r="D3" s="5" t="s">
        <v>10</v>
      </c>
      <c r="E3" s="6">
        <v>8.0</v>
      </c>
      <c r="F3" s="6">
        <v>45.0</v>
      </c>
      <c r="G3" s="5" t="s">
        <v>14</v>
      </c>
      <c r="H3" s="7">
        <f t="shared" si="1"/>
        <v>360</v>
      </c>
    </row>
    <row r="4" ht="22.5" customHeight="1">
      <c r="A4" s="3" t="s">
        <v>15</v>
      </c>
      <c r="B4" s="4">
        <v>46032.0</v>
      </c>
      <c r="C4" s="3" t="s">
        <v>16</v>
      </c>
      <c r="D4" s="5" t="s">
        <v>17</v>
      </c>
      <c r="E4" s="6">
        <v>20.0</v>
      </c>
      <c r="F4" s="6">
        <v>12.0</v>
      </c>
      <c r="G4" s="5" t="s">
        <v>11</v>
      </c>
      <c r="H4" s="7">
        <f t="shared" si="1"/>
        <v>240</v>
      </c>
    </row>
    <row r="5" ht="22.5" customHeight="1">
      <c r="A5" s="3" t="s">
        <v>18</v>
      </c>
      <c r="B5" s="4">
        <v>46036.0</v>
      </c>
      <c r="C5" s="3" t="s">
        <v>19</v>
      </c>
      <c r="D5" s="5" t="s">
        <v>10</v>
      </c>
      <c r="E5" s="6">
        <v>15.0</v>
      </c>
      <c r="F5" s="6">
        <v>18.0</v>
      </c>
      <c r="G5" s="5" t="s">
        <v>20</v>
      </c>
      <c r="H5" s="7">
        <f t="shared" si="1"/>
        <v>270</v>
      </c>
    </row>
    <row r="6" ht="22.5" customHeight="1">
      <c r="A6" s="3" t="s">
        <v>21</v>
      </c>
      <c r="B6" s="4">
        <v>46042.0</v>
      </c>
      <c r="C6" s="3" t="s">
        <v>22</v>
      </c>
      <c r="D6" s="5" t="s">
        <v>17</v>
      </c>
      <c r="E6" s="6">
        <v>10.0</v>
      </c>
      <c r="F6" s="6">
        <v>35.0</v>
      </c>
      <c r="G6" s="5" t="s">
        <v>14</v>
      </c>
      <c r="H6" s="7">
        <f t="shared" si="1"/>
        <v>350</v>
      </c>
    </row>
    <row r="7" ht="22.5" customHeight="1">
      <c r="A7" s="3" t="s">
        <v>23</v>
      </c>
      <c r="B7" s="4">
        <v>46055.0</v>
      </c>
      <c r="C7" s="3" t="s">
        <v>9</v>
      </c>
      <c r="D7" s="5" t="s">
        <v>10</v>
      </c>
      <c r="E7" s="6">
        <v>18.0</v>
      </c>
      <c r="F7" s="6">
        <v>25.0</v>
      </c>
      <c r="G7" s="5" t="s">
        <v>20</v>
      </c>
      <c r="H7" s="7">
        <f t="shared" si="1"/>
        <v>450</v>
      </c>
    </row>
    <row r="8" ht="22.5" customHeight="1">
      <c r="A8" s="3" t="s">
        <v>24</v>
      </c>
      <c r="B8" s="4">
        <v>46059.0</v>
      </c>
      <c r="C8" s="3" t="s">
        <v>16</v>
      </c>
      <c r="D8" s="5" t="s">
        <v>17</v>
      </c>
      <c r="E8" s="6">
        <v>25.0</v>
      </c>
      <c r="F8" s="6">
        <v>12.0</v>
      </c>
      <c r="G8" s="5" t="s">
        <v>11</v>
      </c>
      <c r="H8" s="7">
        <f t="shared" si="1"/>
        <v>300</v>
      </c>
    </row>
    <row r="9" ht="22.5" customHeight="1">
      <c r="A9" s="3" t="s">
        <v>25</v>
      </c>
      <c r="B9" s="4">
        <v>46064.0</v>
      </c>
      <c r="C9" s="3" t="s">
        <v>13</v>
      </c>
      <c r="D9" s="5" t="s">
        <v>10</v>
      </c>
      <c r="E9" s="6">
        <v>12.0</v>
      </c>
      <c r="F9" s="6">
        <v>45.0</v>
      </c>
      <c r="G9" s="5" t="s">
        <v>14</v>
      </c>
      <c r="H9" s="7">
        <f t="shared" si="1"/>
        <v>540</v>
      </c>
      <c r="J9" s="8">
        <f>SUM(Sales_Data[Revenue])</f>
        <v>6030</v>
      </c>
    </row>
    <row r="10" ht="22.5" customHeight="1">
      <c r="A10" s="3" t="s">
        <v>26</v>
      </c>
      <c r="B10" s="4">
        <v>46071.0</v>
      </c>
      <c r="C10" s="3" t="s">
        <v>19</v>
      </c>
      <c r="D10" s="5" t="s">
        <v>10</v>
      </c>
      <c r="E10" s="6">
        <v>20.0</v>
      </c>
      <c r="F10" s="6">
        <v>18.0</v>
      </c>
      <c r="G10" s="5" t="s">
        <v>11</v>
      </c>
      <c r="H10" s="7">
        <f t="shared" si="1"/>
        <v>360</v>
      </c>
    </row>
    <row r="11" ht="22.5" customHeight="1">
      <c r="A11" s="3" t="s">
        <v>27</v>
      </c>
      <c r="B11" s="4">
        <v>46076.0</v>
      </c>
      <c r="C11" s="3" t="s">
        <v>22</v>
      </c>
      <c r="D11" s="5" t="s">
        <v>17</v>
      </c>
      <c r="E11" s="6">
        <v>14.0</v>
      </c>
      <c r="F11" s="6">
        <v>35.0</v>
      </c>
      <c r="G11" s="5" t="s">
        <v>20</v>
      </c>
      <c r="H11" s="7">
        <f t="shared" si="1"/>
        <v>490</v>
      </c>
    </row>
    <row r="12" ht="22.5" customHeight="1">
      <c r="A12" s="3" t="s">
        <v>28</v>
      </c>
      <c r="B12" s="4">
        <v>46084.0</v>
      </c>
      <c r="C12" s="3" t="s">
        <v>9</v>
      </c>
      <c r="D12" s="5" t="s">
        <v>10</v>
      </c>
      <c r="E12" s="6">
        <v>22.0</v>
      </c>
      <c r="F12" s="6">
        <v>25.0</v>
      </c>
      <c r="G12" s="5" t="s">
        <v>14</v>
      </c>
      <c r="H12" s="7">
        <f t="shared" si="1"/>
        <v>550</v>
      </c>
    </row>
    <row r="13" ht="22.5" customHeight="1">
      <c r="A13" s="3" t="s">
        <v>29</v>
      </c>
      <c r="B13" s="4">
        <v>46089.0</v>
      </c>
      <c r="C13" s="3" t="s">
        <v>16</v>
      </c>
      <c r="D13" s="5" t="s">
        <v>17</v>
      </c>
      <c r="E13" s="6">
        <v>30.0</v>
      </c>
      <c r="F13" s="6">
        <v>12.0</v>
      </c>
      <c r="G13" s="5" t="s">
        <v>20</v>
      </c>
      <c r="H13" s="7">
        <f t="shared" si="1"/>
        <v>360</v>
      </c>
    </row>
    <row r="14" ht="22.5" customHeight="1">
      <c r="A14" s="3" t="s">
        <v>30</v>
      </c>
      <c r="B14" s="4">
        <v>46093.0</v>
      </c>
      <c r="C14" s="3" t="s">
        <v>13</v>
      </c>
      <c r="D14" s="5" t="s">
        <v>10</v>
      </c>
      <c r="E14" s="6">
        <v>10.0</v>
      </c>
      <c r="F14" s="6">
        <v>45.0</v>
      </c>
      <c r="G14" s="5" t="s">
        <v>11</v>
      </c>
      <c r="H14" s="7">
        <f t="shared" si="1"/>
        <v>450</v>
      </c>
    </row>
    <row r="15" ht="22.5" customHeight="1">
      <c r="A15" s="3" t="s">
        <v>31</v>
      </c>
      <c r="B15" s="4">
        <v>46100.0</v>
      </c>
      <c r="C15" s="3" t="s">
        <v>19</v>
      </c>
      <c r="D15" s="5" t="s">
        <v>10</v>
      </c>
      <c r="E15" s="6">
        <v>25.0</v>
      </c>
      <c r="F15" s="6">
        <v>18.0</v>
      </c>
      <c r="G15" s="5" t="s">
        <v>14</v>
      </c>
      <c r="H15" s="7">
        <f t="shared" si="1"/>
        <v>450</v>
      </c>
    </row>
    <row r="16" ht="22.5" customHeight="1">
      <c r="A16" s="3" t="s">
        <v>32</v>
      </c>
      <c r="B16" s="4">
        <v>46106.0</v>
      </c>
      <c r="C16" s="3" t="s">
        <v>22</v>
      </c>
      <c r="D16" s="5" t="s">
        <v>17</v>
      </c>
      <c r="E16" s="6">
        <v>16.0</v>
      </c>
      <c r="F16" s="6">
        <v>35.0</v>
      </c>
      <c r="G16" s="5" t="s">
        <v>11</v>
      </c>
      <c r="H16" s="7">
        <f t="shared" si="1"/>
        <v>560</v>
      </c>
    </row>
  </sheetData>
  <dataValidations>
    <dataValidation type="custom" allowBlank="1" showDropDown="1" sqref="B2:B16">
      <formula1>OR(NOT(ISERROR(DATEVALUE(B2))), AND(ISNUMBER(B2), LEFT(CELL("format", B2))="D"))</formula1>
    </dataValidation>
    <dataValidation type="list" allowBlank="1" showDropDown="1" showErrorMessage="1" sqref="G2:G16">
      <formula1>"Accra,Kumasi,Tema"</formula1>
    </dataValidation>
    <dataValidation type="custom" allowBlank="1" showDropDown="1" sqref="E2:F16">
      <formula1>AND(ISNUMBER(E2),(NOT(OR(NOT(ISERROR(DATEVALUE(E2))), AND(ISNUMBER(E2), LEFT(CELL("format", E2))="D")))))</formula1>
    </dataValidation>
    <dataValidation type="list" allowBlank="1" showDropDown="1" showErrorMessage="1" sqref="D2:D16">
      <formula1>"Groceries,Household"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3" max="3" width="16.88"/>
    <col customWidth="1" min="4" max="4" width="12.63"/>
    <col customWidth="1" min="5" max="5" width="18.75"/>
    <col customWidth="1" min="6" max="6" width="24.25"/>
    <col customWidth="1" min="11" max="11" width="16.88"/>
  </cols>
  <sheetData>
    <row r="1">
      <c r="A1" s="9" t="s">
        <v>33</v>
      </c>
      <c r="B1" s="9" t="s">
        <v>34</v>
      </c>
      <c r="D1" s="9" t="s">
        <v>35</v>
      </c>
      <c r="E1" s="9" t="s">
        <v>36</v>
      </c>
      <c r="G1" s="9" t="s">
        <v>37</v>
      </c>
      <c r="H1" s="9" t="s">
        <v>38</v>
      </c>
      <c r="J1" s="9" t="s">
        <v>6</v>
      </c>
      <c r="K1" s="9" t="s">
        <v>39</v>
      </c>
    </row>
    <row r="2">
      <c r="A2" s="9" t="s">
        <v>39</v>
      </c>
      <c r="B2" s="8">
        <f>SUM(Sales_Data!H2:H16)</f>
        <v>6030</v>
      </c>
      <c r="D2" s="9" t="s">
        <v>9</v>
      </c>
      <c r="E2" s="8">
        <f>SUMIF(Sales_Data!C:C,D2,Sales_Data!H:H)</f>
        <v>1300</v>
      </c>
      <c r="G2" s="9" t="s">
        <v>40</v>
      </c>
      <c r="H2" s="8">
        <f>SUMIFS(Sales_Data!H:H,Sales_Data!B:B,"&gt;="&amp;DATE(2026,1,1),Sales_Data!B:B,"&lt;"&amp;DATE(2026,2,1))</f>
        <v>1520</v>
      </c>
      <c r="J2" s="9" t="s">
        <v>11</v>
      </c>
      <c r="K2" s="8">
        <f>SUMIF(Sales_Data!G:G,J2,Sales_Data!H:H)</f>
        <v>2210</v>
      </c>
    </row>
    <row r="3">
      <c r="A3" s="9" t="s">
        <v>41</v>
      </c>
      <c r="B3" s="10">
        <f>SUM(Sales_Data[Quantity])</f>
        <v>257</v>
      </c>
      <c r="D3" s="9" t="s">
        <v>13</v>
      </c>
      <c r="E3" s="8">
        <f>SUMIF(Sales_Data!C:C,D3,Sales_Data!H:H)</f>
        <v>1350</v>
      </c>
      <c r="G3" s="9" t="s">
        <v>42</v>
      </c>
      <c r="H3" s="8">
        <f>SUMIFS(Sales_Data!H:H,Sales_Data!B:B,"&gt;="&amp;DATE(2026,2,1),Sales_Data!B:B,"&lt;"&amp;DATE(2026,3,1))</f>
        <v>2140</v>
      </c>
      <c r="J3" s="9" t="s">
        <v>14</v>
      </c>
      <c r="K3" s="8">
        <f>SUMIF(Sales_Data!G:G,J3,Sales_Data!H:H)</f>
        <v>2250</v>
      </c>
    </row>
    <row r="4">
      <c r="A4" s="9" t="s">
        <v>43</v>
      </c>
      <c r="B4" s="9">
        <f>COUNTA(Sales_Data[Order_ID])</f>
        <v>15</v>
      </c>
      <c r="D4" s="9" t="s">
        <v>16</v>
      </c>
      <c r="E4" s="8">
        <f>SUMIF(Sales_Data!C:C,D4,Sales_Data!H:H)</f>
        <v>900</v>
      </c>
      <c r="G4" s="9" t="s">
        <v>44</v>
      </c>
      <c r="H4" s="8">
        <f>SUMIFS(Sales_Data!H:H,Sales_Data!B:B,"&gt;="&amp;DATE(2026,3,1),Sales_Data!B:B,"&lt;"&amp;DATE(2026,4,1))</f>
        <v>2370</v>
      </c>
      <c r="J4" s="9" t="s">
        <v>20</v>
      </c>
      <c r="K4" s="8">
        <f>SUMIF(Sales_Data!G:G,J4,Sales_Data!H:H)</f>
        <v>1570</v>
      </c>
    </row>
    <row r="5">
      <c r="A5" s="9" t="s">
        <v>45</v>
      </c>
      <c r="B5" s="9">
        <f>AVERAGE(Sales_Data!H2:H16)</f>
        <v>402</v>
      </c>
      <c r="D5" s="9" t="s">
        <v>19</v>
      </c>
      <c r="E5" s="8">
        <f>SUMIF(Sales_Data!C:C,D5,Sales_Data!H:H)</f>
        <v>1080</v>
      </c>
    </row>
    <row r="6">
      <c r="B6" s="9" t="s">
        <v>46</v>
      </c>
      <c r="D6" s="9" t="s">
        <v>22</v>
      </c>
      <c r="E6" s="8">
        <f>SUMIF(Sales_Data!C:C,D6,Sales_Data!H:H)</f>
        <v>1400</v>
      </c>
    </row>
    <row r="7">
      <c r="B7" s="9" t="s">
        <v>46</v>
      </c>
    </row>
    <row r="8">
      <c r="B8" s="9" t="s">
        <v>46</v>
      </c>
    </row>
    <row r="9">
      <c r="B9" s="9" t="s">
        <v>46</v>
      </c>
    </row>
    <row r="10">
      <c r="B10" s="9" t="s">
        <v>46</v>
      </c>
    </row>
    <row r="11">
      <c r="B11" s="9" t="s">
        <v>46</v>
      </c>
    </row>
    <row r="12">
      <c r="B12" s="9" t="s">
        <v>46</v>
      </c>
    </row>
    <row r="13">
      <c r="B13" s="9" t="s">
        <v>46</v>
      </c>
    </row>
    <row r="14">
      <c r="B14" s="9" t="s">
        <v>46</v>
      </c>
    </row>
    <row r="15">
      <c r="B15" s="9" t="s">
        <v>46</v>
      </c>
    </row>
    <row r="16">
      <c r="B16" s="9" t="s">
        <v>46</v>
      </c>
    </row>
    <row r="17">
      <c r="B17" s="8" t="str">
        <f>Sales_Data!H17</f>
        <v/>
      </c>
    </row>
  </sheetData>
  <drawing r:id="rId1"/>
</worksheet>
</file>