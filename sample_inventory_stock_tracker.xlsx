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Movements" sheetId="1" state="visible" r:id="rId1"/>
    <sheet xmlns:r="http://schemas.openxmlformats.org/officeDocument/2006/relationships" name="Stock Summary" sheetId="2" state="visible" r:id="rId2"/>
  </sheets>
  <definedNames>
    <definedName name="_xlnm._FilterDatabase" localSheetId="0" hidden="1">'Stock Movements'!$A$1:$H$14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GHS &quot;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831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/>
    </xf>
    <xf numFmtId="164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Movements" displayName="Movements" ref="A1:H14" headerRowCount="1">
  <autoFilter ref="A1:H14"/>
  <tableColumns count="8">
    <tableColumn id="1" name="Date"/>
    <tableColumn id="2" name="SKU"/>
    <tableColumn id="3" name="Product"/>
    <tableColumn id="4" name="Movement Type"/>
    <tableColumn id="5" name="Quantity"/>
    <tableColumn id="6" name="Unit Cost (GHS)"/>
    <tableColumn id="7" name="Reference"/>
    <tableColumn id="8" name="Not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8" customWidth="1" min="4" max="4"/>
    <col width="12" customWidth="1" min="5" max="5"/>
    <col width="18" customWidth="1" min="6" max="6"/>
    <col width="14" customWidth="1" min="7" max="7"/>
    <col width="28" customWidth="1" min="8" max="8"/>
  </cols>
  <sheetData>
    <row r="1">
      <c r="A1" s="1" t="inlineStr">
        <is>
          <t>Date</t>
        </is>
      </c>
      <c r="B1" s="1" t="inlineStr">
        <is>
          <t>SKU</t>
        </is>
      </c>
      <c r="C1" s="1" t="inlineStr">
        <is>
          <t>Product</t>
        </is>
      </c>
      <c r="D1" s="1" t="inlineStr">
        <is>
          <t>Movement Type</t>
        </is>
      </c>
      <c r="E1" s="1" t="inlineStr">
        <is>
          <t>Quantity</t>
        </is>
      </c>
      <c r="F1" s="1" t="inlineStr">
        <is>
          <t>Unit Cost (GHS)</t>
        </is>
      </c>
      <c r="G1" s="1" t="inlineStr">
        <is>
          <t>Reference</t>
        </is>
      </c>
      <c r="H1" s="1" t="inlineStr">
        <is>
          <t>Notes</t>
        </is>
      </c>
    </row>
    <row r="2">
      <c r="A2" s="2" t="inlineStr">
        <is>
          <t>2026-09-01</t>
        </is>
      </c>
      <c r="B2" s="2" t="inlineStr">
        <is>
          <t>SKU-001</t>
        </is>
      </c>
      <c r="C2" s="2" t="inlineStr">
        <is>
          <t>Bottled Water</t>
        </is>
      </c>
      <c r="D2" s="2" t="inlineStr">
        <is>
          <t>Opening Balance</t>
        </is>
      </c>
      <c r="E2" s="2" t="n">
        <v>500</v>
      </c>
      <c r="F2" s="2" t="n">
        <v>2.4</v>
      </c>
      <c r="G2" s="2" t="inlineStr">
        <is>
          <t>OPEN-001</t>
        </is>
      </c>
      <c r="H2" s="2" t="inlineStr">
        <is>
          <t>Synthetic example data</t>
        </is>
      </c>
    </row>
    <row r="3">
      <c r="A3" s="2" t="inlineStr">
        <is>
          <t>2026-09-02</t>
        </is>
      </c>
      <c r="B3" s="2" t="inlineStr">
        <is>
          <t>SKU-001</t>
        </is>
      </c>
      <c r="C3" s="2" t="inlineStr">
        <is>
          <t>Bottled Water</t>
        </is>
      </c>
      <c r="D3" s="2" t="inlineStr">
        <is>
          <t>Receipt</t>
        </is>
      </c>
      <c r="E3" s="2" t="n">
        <v>240</v>
      </c>
      <c r="F3" s="2" t="n">
        <v>2.4</v>
      </c>
      <c r="G3" s="2" t="inlineStr">
        <is>
          <t>GRN-001</t>
        </is>
      </c>
      <c r="H3" s="2" t="inlineStr">
        <is>
          <t>Supplier delivery</t>
        </is>
      </c>
    </row>
    <row r="4">
      <c r="A4" s="2" t="inlineStr">
        <is>
          <t>2026-09-02</t>
        </is>
      </c>
      <c r="B4" s="2" t="inlineStr">
        <is>
          <t>SKU-001</t>
        </is>
      </c>
      <c r="C4" s="2" t="inlineStr">
        <is>
          <t>Bottled Water</t>
        </is>
      </c>
      <c r="D4" s="2" t="inlineStr">
        <is>
          <t>Issue</t>
        </is>
      </c>
      <c r="E4" s="2" t="n">
        <v>180</v>
      </c>
      <c r="F4" s="2" t="n">
        <v>2.4</v>
      </c>
      <c r="G4" s="2" t="inlineStr">
        <is>
          <t>ISS-001</t>
        </is>
      </c>
      <c r="H4" s="2" t="inlineStr">
        <is>
          <t>Customer orders</t>
        </is>
      </c>
    </row>
    <row r="5">
      <c r="A5" s="2" t="inlineStr">
        <is>
          <t>2026-09-03</t>
        </is>
      </c>
      <c r="B5" s="2" t="inlineStr">
        <is>
          <t>SKU-001</t>
        </is>
      </c>
      <c r="C5" s="2" t="inlineStr">
        <is>
          <t>Bottled Water</t>
        </is>
      </c>
      <c r="D5" s="2" t="inlineStr">
        <is>
          <t>Issue</t>
        </is>
      </c>
      <c r="E5" s="2" t="n">
        <v>125</v>
      </c>
      <c r="F5" s="2" t="n">
        <v>2.4</v>
      </c>
      <c r="G5" s="2" t="inlineStr">
        <is>
          <t>ISS-002</t>
        </is>
      </c>
      <c r="H5" s="2" t="inlineStr">
        <is>
          <t>Customer orders</t>
        </is>
      </c>
    </row>
    <row r="6">
      <c r="A6" s="2" t="inlineStr">
        <is>
          <t>2026-09-03</t>
        </is>
      </c>
      <c r="B6" s="2" t="inlineStr">
        <is>
          <t>SKU-001</t>
        </is>
      </c>
      <c r="C6" s="2" t="inlineStr">
        <is>
          <t>Bottled Water</t>
        </is>
      </c>
      <c r="D6" s="2" t="inlineStr">
        <is>
          <t>Return</t>
        </is>
      </c>
      <c r="E6" s="2" t="n">
        <v>10</v>
      </c>
      <c r="F6" s="2" t="n">
        <v>2.4</v>
      </c>
      <c r="G6" s="2" t="inlineStr">
        <is>
          <t>RET-001</t>
        </is>
      </c>
      <c r="H6" s="2" t="inlineStr">
        <is>
          <t>Saleable return</t>
        </is>
      </c>
    </row>
    <row r="7">
      <c r="A7" s="2" t="inlineStr">
        <is>
          <t>2026-09-01</t>
        </is>
      </c>
      <c r="B7" s="2" t="inlineStr">
        <is>
          <t>SKU-002</t>
        </is>
      </c>
      <c r="C7" s="2" t="inlineStr">
        <is>
          <t>Sachet Water Bag</t>
        </is>
      </c>
      <c r="D7" s="2" t="inlineStr">
        <is>
          <t>Opening Balance</t>
        </is>
      </c>
      <c r="E7" s="2" t="n">
        <v>320</v>
      </c>
      <c r="F7" s="2" t="n">
        <v>4</v>
      </c>
      <c r="G7" s="2" t="inlineStr">
        <is>
          <t>OPEN-002</t>
        </is>
      </c>
      <c r="H7" s="2" t="inlineStr">
        <is>
          <t>Synthetic example data</t>
        </is>
      </c>
    </row>
    <row r="8">
      <c r="A8" s="2" t="inlineStr">
        <is>
          <t>2026-09-02</t>
        </is>
      </c>
      <c r="B8" s="2" t="inlineStr">
        <is>
          <t>SKU-002</t>
        </is>
      </c>
      <c r="C8" s="2" t="inlineStr">
        <is>
          <t>Sachet Water Bag</t>
        </is>
      </c>
      <c r="D8" s="2" t="inlineStr">
        <is>
          <t>Receipt</t>
        </is>
      </c>
      <c r="E8" s="2" t="n">
        <v>150</v>
      </c>
      <c r="F8" s="2" t="n">
        <v>4</v>
      </c>
      <c r="G8" s="2" t="inlineStr">
        <is>
          <t>GRN-002</t>
        </is>
      </c>
      <c r="H8" s="2" t="inlineStr">
        <is>
          <t>Production transfer</t>
        </is>
      </c>
    </row>
    <row r="9">
      <c r="A9" s="2" t="inlineStr">
        <is>
          <t>2026-09-02</t>
        </is>
      </c>
      <c r="B9" s="2" t="inlineStr">
        <is>
          <t>SKU-002</t>
        </is>
      </c>
      <c r="C9" s="2" t="inlineStr">
        <is>
          <t>Sachet Water Bag</t>
        </is>
      </c>
      <c r="D9" s="2" t="inlineStr">
        <is>
          <t>Issue</t>
        </is>
      </c>
      <c r="E9" s="2" t="n">
        <v>210</v>
      </c>
      <c r="F9" s="2" t="n">
        <v>4</v>
      </c>
      <c r="G9" s="2" t="inlineStr">
        <is>
          <t>ISS-003</t>
        </is>
      </c>
      <c r="H9" s="2" t="inlineStr">
        <is>
          <t>Dispatch</t>
        </is>
      </c>
    </row>
    <row r="10">
      <c r="A10" s="2" t="inlineStr">
        <is>
          <t>2026-09-03</t>
        </is>
      </c>
      <c r="B10" s="2" t="inlineStr">
        <is>
          <t>SKU-002</t>
        </is>
      </c>
      <c r="C10" s="2" t="inlineStr">
        <is>
          <t>Sachet Water Bag</t>
        </is>
      </c>
      <c r="D10" s="2" t="inlineStr">
        <is>
          <t>Issue</t>
        </is>
      </c>
      <c r="E10" s="2" t="n">
        <v>175</v>
      </c>
      <c r="F10" s="2" t="n">
        <v>4</v>
      </c>
      <c r="G10" s="2" t="inlineStr">
        <is>
          <t>ISS-004</t>
        </is>
      </c>
      <c r="H10" s="2" t="inlineStr">
        <is>
          <t>Dispatch</t>
        </is>
      </c>
    </row>
    <row r="11">
      <c r="A11" s="2" t="inlineStr">
        <is>
          <t>2026-09-03</t>
        </is>
      </c>
      <c r="B11" s="2" t="inlineStr">
        <is>
          <t>SKU-002</t>
        </is>
      </c>
      <c r="C11" s="2" t="inlineStr">
        <is>
          <t>Sachet Water Bag</t>
        </is>
      </c>
      <c r="D11" s="2" t="inlineStr">
        <is>
          <t>Return</t>
        </is>
      </c>
      <c r="E11" s="2" t="n">
        <v>8</v>
      </c>
      <c r="F11" s="2" t="n">
        <v>4</v>
      </c>
      <c r="G11" s="2" t="inlineStr">
        <is>
          <t>RET-002</t>
        </is>
      </c>
      <c r="H11" s="2" t="inlineStr">
        <is>
          <t>Counted return</t>
        </is>
      </c>
    </row>
    <row r="12">
      <c r="A12" s="2" t="inlineStr">
        <is>
          <t>2026-09-01</t>
        </is>
      </c>
      <c r="B12" s="2" t="inlineStr">
        <is>
          <t>SKU-003</t>
        </is>
      </c>
      <c r="C12" s="2" t="inlineStr">
        <is>
          <t>Cleaning Supplies</t>
        </is>
      </c>
      <c r="D12" s="2" t="inlineStr">
        <is>
          <t>Opening Balance</t>
        </is>
      </c>
      <c r="E12" s="2" t="n">
        <v>45</v>
      </c>
      <c r="F12" s="2" t="n">
        <v>18</v>
      </c>
      <c r="G12" s="2" t="inlineStr">
        <is>
          <t>OPEN-003</t>
        </is>
      </c>
      <c r="H12" s="2" t="inlineStr">
        <is>
          <t>Synthetic example data</t>
        </is>
      </c>
    </row>
    <row r="13">
      <c r="A13" s="2" t="inlineStr">
        <is>
          <t>2026-09-02</t>
        </is>
      </c>
      <c r="B13" s="2" t="inlineStr">
        <is>
          <t>SKU-003</t>
        </is>
      </c>
      <c r="C13" s="2" t="inlineStr">
        <is>
          <t>Cleaning Supplies</t>
        </is>
      </c>
      <c r="D13" s="2" t="inlineStr">
        <is>
          <t>Receipt</t>
        </is>
      </c>
      <c r="E13" s="2" t="n">
        <v>20</v>
      </c>
      <c r="F13" s="2" t="n">
        <v>18</v>
      </c>
      <c r="G13" s="2" t="inlineStr">
        <is>
          <t>GRN-003</t>
        </is>
      </c>
      <c r="H13" s="2" t="inlineStr">
        <is>
          <t>Supplier delivery</t>
        </is>
      </c>
    </row>
    <row r="14">
      <c r="A14" s="2" t="inlineStr">
        <is>
          <t>2026-09-03</t>
        </is>
      </c>
      <c r="B14" s="2" t="inlineStr">
        <is>
          <t>SKU-003</t>
        </is>
      </c>
      <c r="C14" s="2" t="inlineStr">
        <is>
          <t>Cleaning Supplies</t>
        </is>
      </c>
      <c r="D14" s="2" t="inlineStr">
        <is>
          <t>Issue</t>
        </is>
      </c>
      <c r="E14" s="2" t="n">
        <v>12</v>
      </c>
      <c r="F14" s="2" t="n">
        <v>18</v>
      </c>
      <c r="G14" s="2" t="inlineStr">
        <is>
          <t>ISS-005</t>
        </is>
      </c>
      <c r="H14" s="2" t="inlineStr">
        <is>
          <t>Internal use</t>
        </is>
      </c>
    </row>
  </sheetData>
  <autoFilter ref="A1:H1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2" customWidth="1" min="4" max="4"/>
    <col width="12" customWidth="1" min="5" max="5"/>
    <col width="12" customWidth="1" min="6" max="6"/>
    <col width="14" customWidth="1" min="7" max="7"/>
    <col width="18" customWidth="1" min="8" max="8"/>
    <col width="22" customWidth="1" min="9" max="9"/>
  </cols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Opening Qty</t>
        </is>
      </c>
      <c r="D1" s="1" t="inlineStr">
        <is>
          <t>Receipts</t>
        </is>
      </c>
      <c r="E1" s="1" t="inlineStr">
        <is>
          <t>Issues</t>
        </is>
      </c>
      <c r="F1" s="1" t="inlineStr">
        <is>
          <t>Returns</t>
        </is>
      </c>
      <c r="G1" s="1" t="inlineStr">
        <is>
          <t>Closing Qty</t>
        </is>
      </c>
      <c r="H1" s="1" t="inlineStr">
        <is>
          <t>Unit Cost (GHS)</t>
        </is>
      </c>
      <c r="I1" s="1" t="inlineStr">
        <is>
          <t>Closing Value (GHS)</t>
        </is>
      </c>
    </row>
    <row r="2">
      <c r="A2" t="inlineStr">
        <is>
          <t>SKU-001</t>
        </is>
      </c>
      <c r="B2" t="inlineStr">
        <is>
          <t>Bottled Water</t>
        </is>
      </c>
      <c r="C2" t="n">
        <v>500</v>
      </c>
      <c r="D2">
        <f>SUMIFS('Stock Movements'!$E:$E,'Stock Movements'!$B:$B,A2,'Stock Movements'!$D:$D,"Receipt")</f>
        <v/>
      </c>
      <c r="E2">
        <f>SUMIFS('Stock Movements'!$E:$E,'Stock Movements'!$B:$B,A2,'Stock Movements'!$D:$D,"Issue")</f>
        <v/>
      </c>
      <c r="F2">
        <f>SUMIFS('Stock Movements'!$E:$E,'Stock Movements'!$B:$B,A2,'Stock Movements'!$D:$D,"Return")</f>
        <v/>
      </c>
      <c r="G2">
        <f>C2+D2-E2+F2</f>
        <v/>
      </c>
      <c r="H2" s="3" t="n">
        <v>2.4</v>
      </c>
      <c r="I2" s="3">
        <f>G2*H2</f>
        <v/>
      </c>
    </row>
    <row r="3">
      <c r="A3" t="inlineStr">
        <is>
          <t>SKU-002</t>
        </is>
      </c>
      <c r="B3" t="inlineStr">
        <is>
          <t>Sachet Water Bag</t>
        </is>
      </c>
      <c r="C3" t="n">
        <v>320</v>
      </c>
      <c r="D3">
        <f>SUMIFS('Stock Movements'!$E:$E,'Stock Movements'!$B:$B,A3,'Stock Movements'!$D:$D,"Receipt")</f>
        <v/>
      </c>
      <c r="E3">
        <f>SUMIFS('Stock Movements'!$E:$E,'Stock Movements'!$B:$B,A3,'Stock Movements'!$D:$D,"Issue")</f>
        <v/>
      </c>
      <c r="F3">
        <f>SUMIFS('Stock Movements'!$E:$E,'Stock Movements'!$B:$B,A3,'Stock Movements'!$D:$D,"Return")</f>
        <v/>
      </c>
      <c r="G3">
        <f>C3+D3-E3+F3</f>
        <v/>
      </c>
      <c r="H3" s="3" t="n">
        <v>4</v>
      </c>
      <c r="I3" s="3">
        <f>G3*H3</f>
        <v/>
      </c>
    </row>
    <row r="4">
      <c r="A4" t="inlineStr">
        <is>
          <t>SKU-003</t>
        </is>
      </c>
      <c r="B4" t="inlineStr">
        <is>
          <t>Cleaning Supplies</t>
        </is>
      </c>
      <c r="C4" t="n">
        <v>45</v>
      </c>
      <c r="D4">
        <f>SUMIFS('Stock Movements'!$E:$E,'Stock Movements'!$B:$B,A4,'Stock Movements'!$D:$D,"Receipt")</f>
        <v/>
      </c>
      <c r="E4">
        <f>SUMIFS('Stock Movements'!$E:$E,'Stock Movements'!$B:$B,A4,'Stock Movements'!$D:$D,"Issue")</f>
        <v/>
      </c>
      <c r="F4">
        <f>SUMIFS('Stock Movements'!$E:$E,'Stock Movements'!$B:$B,A4,'Stock Movements'!$D:$D,"Return")</f>
        <v/>
      </c>
      <c r="G4">
        <f>C4+D4-E4+F4</f>
        <v/>
      </c>
      <c r="H4" s="3" t="n">
        <v>18</v>
      </c>
      <c r="I4" s="3">
        <f>G4*H4</f>
        <v/>
      </c>
    </row>
    <row r="7">
      <c r="A7" s="4" t="inlineStr">
        <is>
          <t>How to use</t>
        </is>
      </c>
      <c r="B7" s="5" t="inlineStr">
        <is>
          <t>Edit/add movement rows on Stock Movements; summary formulas calculate closing stock.</t>
        </is>
      </c>
    </row>
  </sheetData>
  <mergeCells count="1">
    <mergeCell ref="B7:I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2026-10-18T00:36:33Z</dcterms:created>
  <dcterms:modified xmlns:dcterms="http://purl.org/dc/terms/" xmlns:xsi="http://www.w3.org/2001/XMLSchema-instance" xsi:type="dcterms:W3CDTF">2026-10-18T00:36:33Z</dcterms:modified>
</cp:coreProperties>
</file>