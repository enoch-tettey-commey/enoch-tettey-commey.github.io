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STOCK_MOVEMENTS" sheetId="2" r:id="rId6"/>
    <sheet state="visible" name="STOCK_SUMMARY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<sst xmlns="http://schemas.openxmlformats.org/spreadsheetml/2006/main" count="120" uniqueCount="66">
  <si>
    <t>Product ID</t>
  </si>
  <si>
    <t>Product Name</t>
  </si>
  <si>
    <t>Category</t>
  </si>
  <si>
    <t>Opening Stock</t>
  </si>
  <si>
    <t>Reorder Level</t>
  </si>
  <si>
    <t>Unit Cost (GHC)</t>
  </si>
  <si>
    <t>P001</t>
  </si>
  <si>
    <t>Bottled Water</t>
  </si>
  <si>
    <t>Beverages</t>
  </si>
  <si>
    <t>P002</t>
  </si>
  <si>
    <t>Sachet Water bag</t>
  </si>
  <si>
    <t>P003</t>
  </si>
  <si>
    <t>Cooking Oil</t>
  </si>
  <si>
    <t>Groceries</t>
  </si>
  <si>
    <t>P004</t>
  </si>
  <si>
    <t>Rice 5kg</t>
  </si>
  <si>
    <t>P005</t>
  </si>
  <si>
    <t>Sugar 1kg</t>
  </si>
  <si>
    <t>P006</t>
  </si>
  <si>
    <t>Liquid Soap</t>
  </si>
  <si>
    <t>Household</t>
  </si>
  <si>
    <t>P007</t>
  </si>
  <si>
    <t>Tissue Pack</t>
  </si>
  <si>
    <t>P008</t>
  </si>
  <si>
    <t>Bottled Juice</t>
  </si>
  <si>
    <t>Date</t>
  </si>
  <si>
    <t>Reference No.</t>
  </si>
  <si>
    <t>Movement Type</t>
  </si>
  <si>
    <t>Quantity</t>
  </si>
  <si>
    <t>Notes</t>
  </si>
  <si>
    <t>GR001</t>
  </si>
  <si>
    <t>Receipt</t>
  </si>
  <si>
    <t>Supplier delivery</t>
  </si>
  <si>
    <t>IS001</t>
  </si>
  <si>
    <t>Issue</t>
  </si>
  <si>
    <t>Customer orders</t>
  </si>
  <si>
    <t>GR002</t>
  </si>
  <si>
    <t>IS002</t>
  </si>
  <si>
    <t>Daily dispatch</t>
  </si>
  <si>
    <t>RT001</t>
  </si>
  <si>
    <t>Return</t>
  </si>
  <si>
    <t>Good stock returned</t>
  </si>
  <si>
    <t>IS003</t>
  </si>
  <si>
    <t>GR003</t>
  </si>
  <si>
    <t>IS004</t>
  </si>
  <si>
    <t>GR004</t>
  </si>
  <si>
    <t>IS005</t>
  </si>
  <si>
    <t>GR005</t>
  </si>
  <si>
    <t>IS006</t>
  </si>
  <si>
    <t>GR006</t>
  </si>
  <si>
    <t>IS007</t>
  </si>
  <si>
    <t>GR007</t>
  </si>
  <si>
    <t>IS008</t>
  </si>
  <si>
    <t>GR008</t>
  </si>
  <si>
    <t>Stock Received</t>
  </si>
  <si>
    <t>Stock Issued</t>
  </si>
  <si>
    <t>Stock Returned</t>
  </si>
  <si>
    <t>Closing Stock</t>
  </si>
  <si>
    <t>Stock Status</t>
  </si>
  <si>
    <t>Unit Cost (GHS)</t>
  </si>
  <si>
    <t>Stock Value (GHS)</t>
  </si>
  <si>
    <t>INVENTORY CONTROL DASHBOARD</t>
  </si>
  <si>
    <t>Total Products</t>
  </si>
  <si>
    <t>Products to Reorder</t>
  </si>
  <si>
    <t>Total Units in Stock</t>
  </si>
  <si>
    <t>Total Stock Value (GHC)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</si>
</sst>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GHS]#,##0.00"/>
  </numFmts>
  <fonts count="10">
    <font>
      <sz val="10.0"/>
      <color rgb="FF000000"/>
      <name val="Arial"/>
      <scheme val="minor"/>
    </font>
    <font>
      <b/>
      <sz val="13.0"/>
      <color theme="1"/>
      <name val="Proxima Nova"/>
    </font>
    <font>
      <sz val="14.0"/>
      <color theme="1"/>
      <name val="Arial"/>
      <scheme val="minor"/>
    </font>
    <font>
      <sz val="12.0"/>
      <color theme="1"/>
      <name val="Proxima Nova"/>
    </font>
    <font>
      <b/>
      <sz val="12.0"/>
      <color theme="1"/>
      <name val="Proxima Nova"/>
    </font>
    <font>
      <color theme="1"/>
      <name val="Arial"/>
      <scheme val="minor"/>
    </font>
    <font>
      <b/>
      <sz val="20.0"/>
      <color rgb="FFFFFFFF"/>
      <name val="Proxima Nova"/>
    </font>
    <font>
      <b/>
      <sz val="12.0"/>
      <color rgb="FFFFFFFF"/>
      <name val="Proxima Nova"/>
    </font>
    <font>
      <b/>
      <sz val="24.0"/>
      <color theme="0"/>
      <name val="Proxima Nova"/>
    </font>
    <font>
      <b/>
      <sz val="12.0"/>
      <color theme="0"/>
      <name val="Proxima Nova"/>
    </font>
  </fonts>
  <fills count="6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351C75"/>
        <bgColor rgb="FF351C75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4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3" numFmtId="4" xfId="0" applyFont="1" applyNumberFormat="1"/>
    <xf borderId="0" fillId="2" fontId="6" numFmtId="0" xfId="0" applyAlignment="1" applyFill="1" applyFont="1">
      <alignment horizontal="left" readingOrder="0"/>
    </xf>
    <xf borderId="0" fillId="2" fontId="7" numFmtId="0" xfId="0" applyAlignment="1" applyFill="1" applyFont="1">
      <alignment horizontal="left" readingOrder="0"/>
    </xf>
    <xf borderId="0" fillId="3" fontId="7" numFmtId="0" xfId="0" applyAlignment="1" applyFill="1" applyFont="1">
      <alignment readingOrder="0"/>
    </xf>
    <xf borderId="0" fillId="2" fontId="8" numFmtId="0" xfId="0" applyAlignment="1" applyFill="1" applyFont="1">
      <alignment horizontal="left"/>
    </xf>
    <xf borderId="0" fillId="3" fontId="8" numFmtId="0" xfId="0" applyAlignment="1" applyFill="1" applyFont="1">
      <alignment horizontal="left"/>
    </xf>
    <xf borderId="0" fillId="4" fontId="9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4" fontId="8" numFmtId="0" xfId="0" applyAlignment="1" applyFill="1" applyFont="1">
      <alignment horizontal="left"/>
    </xf>
    <xf borderId="0" fillId="5" fontId="8" numFmtId="165" xfId="0" applyAlignment="1" applyFill="1" applyFont="1" applyNumberFormat="1">
      <alignment horizontal="left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Proxima Nova"/>
              </a:defRPr>
            </a:pPr>
            <a:r>
              <a:rPr b="1">
                <a:solidFill>
                  <a:schemeClr val="dk1"/>
                </a:solidFill>
                <a:latin typeface="Proxima Nova"/>
              </a:rPr>
              <a:t>CLOSING STOCK BY PRODUCTS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STOCK_SUMMARY!$G$1</c:f>
            </c:strRef>
          </c:tx>
          <c:spPr>
            <a:solidFill>
              <a:srgbClr val="FF0000">
                <a:alpha val="70196"/>
              </a:srgbClr>
            </a:solidFill>
            <a:ln cmpd="sng" w="38100">
              <a:noFill/>
            </a:ln>
          </c:spPr>
          <c:invertIfNegative val="0"/>
          <c:cat>
            <c:strRef>
              <c:f>STOCK_SUMMARY!$B$2:$B$9</c:f>
            </c:strRef>
          </c:cat>
          <c:val>
            <c:numRef>
              <c:f>STOCK_SUMMARY!$G$2:$G$9</c:f>
              <c:numCache/>
            </c:numRef>
          </c:val>
        </c:ser>
        <c:overlap val="100"/>
        <c:axId val="1390466459"/>
        <c:axId val="837278009"/>
      </c:barChart>
      <c:catAx>
        <c:axId val="1390466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Proxima Nova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1" sz="1400">
                <a:solidFill>
                  <a:schemeClr val="dk1"/>
                </a:solidFill>
                <a:latin typeface="Proxima Nova"/>
              </a:defRPr>
            </a:pPr>
          </a:p>
        </c:txPr>
        <c:crossAx val="837278009"/>
      </c:catAx>
      <c:valAx>
        <c:axId val="837278009"/>
        <c:scaling>
          <c:orientation val="minMax"/>
          <c:max val="1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Proxima Nova"/>
                  </a:rPr>
                  <a:t>Closing Stock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Proxima Nova"/>
              </a:defRPr>
            </a:pPr>
          </a:p>
        </c:txPr>
        <c:crossAx val="1390466459"/>
        <c:majorUnit val="25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Proxima Nova"/>
              </a:defRPr>
            </a:pPr>
            <a:r>
              <a:rPr b="1" sz="2000">
                <a:solidFill>
                  <a:srgbClr val="757575"/>
                </a:solidFill>
                <a:latin typeface="Proxima Nova"/>
              </a:rPr>
              <a:t>STOCK VALUE BY PRODUCT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STOCK_SUMMARY!$K$1</c:f>
            </c:strRef>
          </c:tx>
          <c:spPr>
            <a:solidFill>
              <a:srgbClr val="FFFF00"/>
            </a:solidFill>
            <a:ln cmpd="sng" w="76200">
              <a:noFill/>
              <a:prstDash val="solid"/>
            </a:ln>
          </c:spPr>
          <c:invertIfNegative val="0"/>
          <c:cat>
            <c:strRef>
              <c:f>STOCK_SUMMARY!$B$2:$B$9</c:f>
            </c:strRef>
          </c:cat>
          <c:val>
            <c:numRef>
              <c:f>STOCK_SUMMARY!$K$2:$K$9</c:f>
              <c:numCache/>
            </c:numRef>
          </c:val>
        </c:ser>
        <c:axId val="980839148"/>
        <c:axId val="1983441829"/>
      </c:barChart>
      <c:catAx>
        <c:axId val="980839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Proxima Nova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1" sz="1400">
                <a:solidFill>
                  <a:srgbClr val="000000"/>
                </a:solidFill>
                <a:latin typeface="Proxima Nova"/>
              </a:defRPr>
            </a:pPr>
          </a:p>
        </c:txPr>
        <c:crossAx val="1983441829"/>
      </c:catAx>
      <c:valAx>
        <c:axId val="1983441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Proxima Nov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Proxima Nova"/>
                  </a:rPr>
                  <a:t>Stock Value (GHS)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Proxima Nova"/>
              </a:defRPr>
            </a:pPr>
          </a:p>
        </c:txPr>
        <c:crossAx val="980839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152400</xdr:rowOff>
    </xdr:from>
    <xdr:ext cx="4629150" cy="3000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1114425</xdr:colOff>
      <xdr:row>9</xdr:row>
      <xdr:rowOff>161925</xdr:rowOff>
    </xdr:from>
    <xdr:ext cx="5000625" cy="3000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7.0"/>
    <col customWidth="1" min="3" max="3" width="10.88"/>
    <col customWidth="1" min="4" max="4" width="16.63"/>
    <col customWidth="1" min="5" max="5" width="15.5"/>
    <col customWidth="1" min="6" max="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3" t="s">
        <v>7</v>
      </c>
      <c r="C2" s="3" t="s">
        <v>8</v>
      </c>
      <c r="D2" s="3">
        <v>500.0</v>
      </c>
      <c r="E2" s="3">
        <v>100.0</v>
      </c>
      <c r="F2" s="4">
        <v>3.5</v>
      </c>
    </row>
    <row r="3">
      <c r="A3" s="3" t="s">
        <v>9</v>
      </c>
      <c r="B3" s="3" t="s">
        <v>10</v>
      </c>
      <c r="C3" s="3" t="s">
        <v>8</v>
      </c>
      <c r="D3" s="3">
        <v>800.0</v>
      </c>
      <c r="E3" s="3">
        <v>150.0</v>
      </c>
      <c r="F3" s="4">
        <v>5.0</v>
      </c>
    </row>
    <row r="4">
      <c r="A4" s="3" t="s">
        <v>11</v>
      </c>
      <c r="B4" s="3" t="s">
        <v>12</v>
      </c>
      <c r="C4" s="3" t="s">
        <v>13</v>
      </c>
      <c r="D4" s="3">
        <v>120.0</v>
      </c>
      <c r="E4" s="3">
        <v>30.0</v>
      </c>
      <c r="F4" s="4">
        <v>45.0</v>
      </c>
    </row>
    <row r="5">
      <c r="A5" s="3" t="s">
        <v>14</v>
      </c>
      <c r="B5" s="3" t="s">
        <v>15</v>
      </c>
      <c r="C5" s="3" t="s">
        <v>13</v>
      </c>
      <c r="D5" s="3">
        <v>90.0</v>
      </c>
      <c r="E5" s="3">
        <v>25.0</v>
      </c>
      <c r="F5" s="4">
        <v>75.0</v>
      </c>
    </row>
    <row r="6">
      <c r="A6" s="3" t="s">
        <v>16</v>
      </c>
      <c r="B6" s="3" t="s">
        <v>17</v>
      </c>
      <c r="C6" s="3" t="s">
        <v>13</v>
      </c>
      <c r="D6" s="3">
        <v>150.0</v>
      </c>
      <c r="E6" s="3">
        <v>40.0</v>
      </c>
      <c r="F6" s="4">
        <v>18.0</v>
      </c>
    </row>
    <row r="7">
      <c r="A7" s="3" t="s">
        <v>18</v>
      </c>
      <c r="B7" s="3" t="s">
        <v>19</v>
      </c>
      <c r="C7" s="3" t="s">
        <v>20</v>
      </c>
      <c r="D7" s="3">
        <v>75.0</v>
      </c>
      <c r="E7" s="3">
        <v>20.0</v>
      </c>
      <c r="F7" s="4">
        <v>22.0</v>
      </c>
    </row>
    <row r="8">
      <c r="A8" s="3" t="s">
        <v>21</v>
      </c>
      <c r="B8" s="3" t="s">
        <v>22</v>
      </c>
      <c r="C8" s="3" t="s">
        <v>20</v>
      </c>
      <c r="D8" s="3">
        <v>200.0</v>
      </c>
      <c r="E8" s="3">
        <v>50.0</v>
      </c>
      <c r="F8" s="4">
        <v>12.0</v>
      </c>
    </row>
    <row r="9">
      <c r="A9" s="3" t="s">
        <v>23</v>
      </c>
      <c r="B9" s="3" t="s">
        <v>24</v>
      </c>
      <c r="C9" s="3" t="s">
        <v>8</v>
      </c>
      <c r="D9" s="3">
        <v>100.0</v>
      </c>
      <c r="E9" s="3">
        <v>30.0</v>
      </c>
      <c r="F9" s="4">
        <v>8.0</v>
      </c>
    </row>
    <row r="10">
      <c r="A10" s="5"/>
      <c r="B10" s="5"/>
      <c r="C10" s="5"/>
      <c r="D10" s="5"/>
      <c r="E10" s="5"/>
      <c r="F1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4.88"/>
    <col customWidth="1" min="3" max="3" width="11.38"/>
    <col customWidth="1" min="4" max="4" width="16.75"/>
    <col customWidth="1" min="5" max="5" width="13.25"/>
    <col customWidth="1" min="6" max="6" width="19.13"/>
  </cols>
  <sheetData>
    <row r="1">
      <c r="A1" s="1" t="s">
        <v>25</v>
      </c>
      <c r="B1" s="1" t="s">
        <v>26</v>
      </c>
      <c r="C1" s="1" t="s">
        <v>0</v>
      </c>
      <c r="D1" s="1" t="s">
        <v>27</v>
      </c>
      <c r="E1" s="1" t="s">
        <v>28</v>
      </c>
      <c r="F1" s="1" t="s">
        <v>29</v>
      </c>
    </row>
    <row r="2">
      <c r="A2" s="6">
        <v>46296.0</v>
      </c>
      <c r="B2" s="3" t="s">
        <v>30</v>
      </c>
      <c r="C2" s="3" t="s">
        <v>6</v>
      </c>
      <c r="D2" s="3" t="s">
        <v>31</v>
      </c>
      <c r="E2" s="7">
        <v>200.0</v>
      </c>
      <c r="F2" s="3" t="s">
        <v>32</v>
      </c>
    </row>
    <row r="3">
      <c r="A3" s="6">
        <v>46297.0</v>
      </c>
      <c r="B3" s="3" t="s">
        <v>33</v>
      </c>
      <c r="C3" s="3" t="s">
        <v>6</v>
      </c>
      <c r="D3" s="3" t="s">
        <v>34</v>
      </c>
      <c r="E3" s="7">
        <v>120.0</v>
      </c>
      <c r="F3" s="3" t="s">
        <v>35</v>
      </c>
    </row>
    <row r="4">
      <c r="A4" s="6">
        <v>46298.0</v>
      </c>
      <c r="B4" s="3" t="s">
        <v>36</v>
      </c>
      <c r="C4" s="3" t="s">
        <v>9</v>
      </c>
      <c r="D4" s="3" t="s">
        <v>31</v>
      </c>
      <c r="E4" s="7">
        <v>300.0</v>
      </c>
      <c r="F4" s="3" t="s">
        <v>32</v>
      </c>
    </row>
    <row r="5">
      <c r="A5" s="6">
        <v>46299.0</v>
      </c>
      <c r="B5" s="3" t="s">
        <v>37</v>
      </c>
      <c r="C5" s="3" t="s">
        <v>9</v>
      </c>
      <c r="D5" s="3" t="s">
        <v>34</v>
      </c>
      <c r="E5" s="7">
        <v>180.0</v>
      </c>
      <c r="F5" s="3" t="s">
        <v>38</v>
      </c>
    </row>
    <row r="6">
      <c r="A6" s="6">
        <v>46300.0</v>
      </c>
      <c r="B6" s="3" t="s">
        <v>39</v>
      </c>
      <c r="C6" s="3" t="s">
        <v>6</v>
      </c>
      <c r="D6" s="3" t="s">
        <v>40</v>
      </c>
      <c r="E6" s="7">
        <v>10.0</v>
      </c>
      <c r="F6" s="3" t="s">
        <v>41</v>
      </c>
    </row>
    <row r="7">
      <c r="A7" s="6">
        <v>46301.0</v>
      </c>
      <c r="B7" s="3" t="s">
        <v>42</v>
      </c>
      <c r="C7" s="3" t="s">
        <v>11</v>
      </c>
      <c r="D7" s="3" t="s">
        <v>34</v>
      </c>
      <c r="E7" s="7">
        <v>25.0</v>
      </c>
      <c r="F7" s="3" t="s">
        <v>35</v>
      </c>
    </row>
    <row r="8">
      <c r="A8" s="6">
        <v>46302.0</v>
      </c>
      <c r="B8" s="3" t="s">
        <v>43</v>
      </c>
      <c r="C8" s="3" t="s">
        <v>11</v>
      </c>
      <c r="D8" s="3" t="s">
        <v>31</v>
      </c>
      <c r="E8" s="7">
        <v>40.0</v>
      </c>
      <c r="F8" s="3" t="s">
        <v>32</v>
      </c>
    </row>
    <row r="9">
      <c r="A9" s="6">
        <v>46303.0</v>
      </c>
      <c r="B9" s="3" t="s">
        <v>44</v>
      </c>
      <c r="C9" s="3" t="s">
        <v>14</v>
      </c>
      <c r="D9" s="3" t="s">
        <v>34</v>
      </c>
      <c r="E9" s="7">
        <v>20.0</v>
      </c>
      <c r="F9" s="3" t="s">
        <v>35</v>
      </c>
    </row>
    <row r="10">
      <c r="A10" s="6">
        <v>46304.0</v>
      </c>
      <c r="B10" s="3" t="s">
        <v>45</v>
      </c>
      <c r="C10" s="3" t="s">
        <v>14</v>
      </c>
      <c r="D10" s="3" t="s">
        <v>31</v>
      </c>
      <c r="E10" s="7">
        <v>30.0</v>
      </c>
      <c r="F10" s="3" t="s">
        <v>32</v>
      </c>
    </row>
    <row r="11">
      <c r="A11" s="6">
        <v>46305.0</v>
      </c>
      <c r="B11" s="3" t="s">
        <v>46</v>
      </c>
      <c r="C11" s="3" t="s">
        <v>16</v>
      </c>
      <c r="D11" s="3" t="s">
        <v>34</v>
      </c>
      <c r="E11" s="7">
        <v>45.0</v>
      </c>
      <c r="F11" s="3" t="s">
        <v>35</v>
      </c>
    </row>
    <row r="12">
      <c r="A12" s="6">
        <v>46306.0</v>
      </c>
      <c r="B12" s="3" t="s">
        <v>47</v>
      </c>
      <c r="C12" s="3" t="s">
        <v>16</v>
      </c>
      <c r="D12" s="3" t="s">
        <v>31</v>
      </c>
      <c r="E12" s="7">
        <v>60.0</v>
      </c>
      <c r="F12" s="3" t="s">
        <v>32</v>
      </c>
    </row>
    <row r="13">
      <c r="A13" s="6">
        <v>46307.0</v>
      </c>
      <c r="B13" s="3" t="s">
        <v>48</v>
      </c>
      <c r="C13" s="3" t="s">
        <v>18</v>
      </c>
      <c r="D13" s="3" t="s">
        <v>34</v>
      </c>
      <c r="E13" s="7">
        <v>15.0</v>
      </c>
      <c r="F13" s="3" t="s">
        <v>35</v>
      </c>
    </row>
    <row r="14">
      <c r="A14" s="6">
        <v>46308.0</v>
      </c>
      <c r="B14" s="3" t="s">
        <v>49</v>
      </c>
      <c r="C14" s="3" t="s">
        <v>18</v>
      </c>
      <c r="D14" s="3" t="s">
        <v>31</v>
      </c>
      <c r="E14" s="7">
        <v>25.0</v>
      </c>
      <c r="F14" s="3" t="s">
        <v>32</v>
      </c>
    </row>
    <row r="15">
      <c r="A15" s="6">
        <v>46309.0</v>
      </c>
      <c r="B15" s="3" t="s">
        <v>50</v>
      </c>
      <c r="C15" s="3" t="s">
        <v>21</v>
      </c>
      <c r="D15" s="3" t="s">
        <v>34</v>
      </c>
      <c r="E15" s="7">
        <v>70.0</v>
      </c>
      <c r="F15" s="3" t="s">
        <v>35</v>
      </c>
    </row>
    <row r="16">
      <c r="A16" s="6">
        <v>46310.0</v>
      </c>
      <c r="B16" s="3" t="s">
        <v>51</v>
      </c>
      <c r="C16" s="3" t="s">
        <v>21</v>
      </c>
      <c r="D16" s="3" t="s">
        <v>31</v>
      </c>
      <c r="E16" s="7">
        <v>50.0</v>
      </c>
      <c r="F16" s="3" t="s">
        <v>32</v>
      </c>
    </row>
    <row r="17">
      <c r="A17" s="6">
        <v>46311.0</v>
      </c>
      <c r="B17" s="3" t="s">
        <v>52</v>
      </c>
      <c r="C17" s="3" t="s">
        <v>23</v>
      </c>
      <c r="D17" s="3" t="s">
        <v>34</v>
      </c>
      <c r="E17" s="7">
        <v>35.0</v>
      </c>
      <c r="F17" s="3" t="s">
        <v>35</v>
      </c>
    </row>
    <row r="18">
      <c r="A18" s="6">
        <v>46312.0</v>
      </c>
      <c r="B18" s="3" t="s">
        <v>53</v>
      </c>
      <c r="C18" s="3" t="s">
        <v>23</v>
      </c>
      <c r="D18" s="3" t="s">
        <v>31</v>
      </c>
      <c r="E18" s="7">
        <v>40.0</v>
      </c>
      <c r="F18" s="3" t="s">
        <v>32</v>
      </c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6.5"/>
    <col customWidth="1" min="3" max="3" width="15.5"/>
    <col customWidth="1" min="4" max="4" width="16.0"/>
    <col customWidth="1" min="5" max="5" width="13.38"/>
    <col customWidth="1" min="6" max="6" width="16.0"/>
    <col customWidth="1" min="7" max="7" width="14.38"/>
    <col customWidth="1" min="8" max="8" width="14.5"/>
    <col customWidth="1" min="9" max="9" width="13.25"/>
    <col customWidth="1" min="10" max="10" width="16.5"/>
    <col customWidth="1" min="11" max="11" width="18.88"/>
  </cols>
  <sheetData>
    <row r="1">
      <c r="A1" s="1" t="s">
        <v>0</v>
      </c>
      <c r="B1" s="1" t="s">
        <v>1</v>
      </c>
      <c r="C1" s="1" t="s">
        <v>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4</v>
      </c>
      <c r="I1" s="1" t="s">
        <v>58</v>
      </c>
      <c r="J1" s="1" t="s">
        <v>59</v>
      </c>
      <c r="K1" s="1" t="s">
        <v>60</v>
      </c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 t="str">
        <f>PRODUCTS!A2</f>
        <v>P001</v>
      </c>
      <c r="B2" s="10" t="str">
        <f>PRODUCTS!B2</f>
        <v>Bottled Water</v>
      </c>
      <c r="C2" s="10">
        <f>PRODUCTS!D2</f>
        <v>500</v>
      </c>
      <c r="D2" s="10">
        <f>SUMIFS(STOCK_MOVEMENTS!$E:$E,STOCK_MOVEMENTS!$C:$C,$A2,STOCK_MOVEMENTS!$D:$D,"Receipt")</f>
        <v>200</v>
      </c>
      <c r="E2" s="10">
        <f>SUMIFS(STOCK_MOVEMENTS!$E:$E,STOCK_MOVEMENTS!$C:$C,$A2,STOCK_MOVEMENTS!$D:$D,"Issue")</f>
        <v>120</v>
      </c>
      <c r="F2" s="10">
        <f>SUMIFS(STOCK_MOVEMENTS!$E:$E,STOCK_MOVEMENTS!$C:$C,$A2,STOCK_MOVEMENTS!$D:$D,"Return")</f>
        <v>10</v>
      </c>
      <c r="G2" s="10">
        <f t="shared" ref="G2:G9" si="1">C2+D2-E2+F2</f>
        <v>590</v>
      </c>
      <c r="H2" s="10">
        <f>PRODUCTS!E2</f>
        <v>100</v>
      </c>
      <c r="I2" s="10" t="str">
        <f t="shared" ref="I2:I9" si="2">IF(G2&lt;=H2,"REORDER","Sufficient")</f>
        <v>Sufficient</v>
      </c>
      <c r="J2" s="11">
        <f>PRODUCTS!F2</f>
        <v>3.5</v>
      </c>
      <c r="K2" s="10">
        <f t="shared" ref="K2:K9" si="3">G2*J2</f>
        <v>2065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 t="str">
        <f>PRODUCTS!A3</f>
        <v>P002</v>
      </c>
      <c r="B3" s="10" t="str">
        <f>PRODUCTS!B3</f>
        <v>Sachet Water bag</v>
      </c>
      <c r="C3" s="10">
        <f>PRODUCTS!D3</f>
        <v>800</v>
      </c>
      <c r="D3" s="10">
        <f>SUMIFS(STOCK_MOVEMENTS!$E:$E,STOCK_MOVEMENTS!$C:$C,$A3,STOCK_MOVEMENTS!$D:$D,"Receipt")</f>
        <v>300</v>
      </c>
      <c r="E3" s="10">
        <f>SUMIFS(STOCK_MOVEMENTS!$E:$E,STOCK_MOVEMENTS!$C:$C,$A3,STOCK_MOVEMENTS!$D:$D,"Issue")</f>
        <v>180</v>
      </c>
      <c r="F3" s="10">
        <f>SUMIFS(STOCK_MOVEMENTS!$E:$E,STOCK_MOVEMENTS!$C:$C,$A3,STOCK_MOVEMENTS!$D:$D,"Return")</f>
        <v>0</v>
      </c>
      <c r="G3" s="10">
        <f t="shared" si="1"/>
        <v>920</v>
      </c>
      <c r="H3" s="10">
        <f>PRODUCTS!E3</f>
        <v>150</v>
      </c>
      <c r="I3" s="10" t="str">
        <f t="shared" si="2"/>
        <v>Sufficient</v>
      </c>
      <c r="J3" s="11">
        <f>PRODUCTS!F3</f>
        <v>5</v>
      </c>
      <c r="K3" s="10">
        <f t="shared" si="3"/>
        <v>4600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 t="str">
        <f>PRODUCTS!A4</f>
        <v>P003</v>
      </c>
      <c r="B4" s="10" t="str">
        <f>PRODUCTS!B4</f>
        <v>Cooking Oil</v>
      </c>
      <c r="C4" s="10">
        <f>PRODUCTS!D4</f>
        <v>120</v>
      </c>
      <c r="D4" s="10">
        <f>SUMIFS(STOCK_MOVEMENTS!$E:$E,STOCK_MOVEMENTS!$C:$C,$A4,STOCK_MOVEMENTS!$D:$D,"Receipt")</f>
        <v>40</v>
      </c>
      <c r="E4" s="10">
        <f>SUMIFS(STOCK_MOVEMENTS!$E:$E,STOCK_MOVEMENTS!$C:$C,$A4,STOCK_MOVEMENTS!$D:$D,"Issue")</f>
        <v>25</v>
      </c>
      <c r="F4" s="10">
        <f>SUMIFS(STOCK_MOVEMENTS!$E:$E,STOCK_MOVEMENTS!$C:$C,$A4,STOCK_MOVEMENTS!$D:$D,"Return")</f>
        <v>0</v>
      </c>
      <c r="G4" s="10">
        <f t="shared" si="1"/>
        <v>135</v>
      </c>
      <c r="H4" s="10">
        <f>PRODUCTS!E4</f>
        <v>30</v>
      </c>
      <c r="I4" s="10" t="str">
        <f t="shared" si="2"/>
        <v>Sufficient</v>
      </c>
      <c r="J4" s="11">
        <f>PRODUCTS!F4</f>
        <v>45</v>
      </c>
      <c r="K4" s="10">
        <f t="shared" si="3"/>
        <v>6075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 t="str">
        <f>PRODUCTS!A5</f>
        <v>P004</v>
      </c>
      <c r="B5" s="10" t="str">
        <f>PRODUCTS!B5</f>
        <v>Rice 5kg</v>
      </c>
      <c r="C5" s="10">
        <f>PRODUCTS!D5</f>
        <v>90</v>
      </c>
      <c r="D5" s="10">
        <f>SUMIFS(STOCK_MOVEMENTS!$E:$E,STOCK_MOVEMENTS!$C:$C,$A5,STOCK_MOVEMENTS!$D:$D,"Receipt")</f>
        <v>30</v>
      </c>
      <c r="E5" s="10">
        <f>SUMIFS(STOCK_MOVEMENTS!$E:$E,STOCK_MOVEMENTS!$C:$C,$A5,STOCK_MOVEMENTS!$D:$D,"Issue")</f>
        <v>20</v>
      </c>
      <c r="F5" s="10">
        <f>SUMIFS(STOCK_MOVEMENTS!$E:$E,STOCK_MOVEMENTS!$C:$C,$A5,STOCK_MOVEMENTS!$D:$D,"Return")</f>
        <v>0</v>
      </c>
      <c r="G5" s="10">
        <f t="shared" si="1"/>
        <v>100</v>
      </c>
      <c r="H5" s="10">
        <f>PRODUCTS!E5</f>
        <v>25</v>
      </c>
      <c r="I5" s="10" t="str">
        <f t="shared" si="2"/>
        <v>Sufficient</v>
      </c>
      <c r="J5" s="11">
        <f>PRODUCTS!F5</f>
        <v>75</v>
      </c>
      <c r="K5" s="10">
        <f t="shared" si="3"/>
        <v>7500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 t="str">
        <f>PRODUCTS!A6</f>
        <v>P005</v>
      </c>
      <c r="B6" s="10" t="str">
        <f>PRODUCTS!B6</f>
        <v>Sugar 1kg</v>
      </c>
      <c r="C6" s="10">
        <f>PRODUCTS!D6</f>
        <v>150</v>
      </c>
      <c r="D6" s="10">
        <f>SUMIFS(STOCK_MOVEMENTS!$E:$E,STOCK_MOVEMENTS!$C:$C,$A6,STOCK_MOVEMENTS!$D:$D,"Receipt")</f>
        <v>60</v>
      </c>
      <c r="E6" s="10">
        <f>SUMIFS(STOCK_MOVEMENTS!$E:$E,STOCK_MOVEMENTS!$C:$C,$A6,STOCK_MOVEMENTS!$D:$D,"Issue")</f>
        <v>45</v>
      </c>
      <c r="F6" s="10">
        <f>SUMIFS(STOCK_MOVEMENTS!$E:$E,STOCK_MOVEMENTS!$C:$C,$A6,STOCK_MOVEMENTS!$D:$D,"Return")</f>
        <v>0</v>
      </c>
      <c r="G6" s="10">
        <f t="shared" si="1"/>
        <v>165</v>
      </c>
      <c r="H6" s="10">
        <f>PRODUCTS!E6</f>
        <v>40</v>
      </c>
      <c r="I6" s="10" t="str">
        <f t="shared" si="2"/>
        <v>Sufficient</v>
      </c>
      <c r="J6" s="11">
        <f>PRODUCTS!F6</f>
        <v>18</v>
      </c>
      <c r="K6" s="10">
        <f t="shared" si="3"/>
        <v>2970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 t="str">
        <f>PRODUCTS!A7</f>
        <v>P006</v>
      </c>
      <c r="B7" s="10" t="str">
        <f>PRODUCTS!B7</f>
        <v>Liquid Soap</v>
      </c>
      <c r="C7" s="10">
        <f>PRODUCTS!D7</f>
        <v>75</v>
      </c>
      <c r="D7" s="10">
        <f>SUMIFS(STOCK_MOVEMENTS!$E:$E,STOCK_MOVEMENTS!$C:$C,$A7,STOCK_MOVEMENTS!$D:$D,"Receipt")</f>
        <v>25</v>
      </c>
      <c r="E7" s="10">
        <f>SUMIFS(STOCK_MOVEMENTS!$E:$E,STOCK_MOVEMENTS!$C:$C,$A7,STOCK_MOVEMENTS!$D:$D,"Issue")</f>
        <v>15</v>
      </c>
      <c r="F7" s="10">
        <f>SUMIFS(STOCK_MOVEMENTS!$E:$E,STOCK_MOVEMENTS!$C:$C,$A7,STOCK_MOVEMENTS!$D:$D,"Return")</f>
        <v>0</v>
      </c>
      <c r="G7" s="10">
        <f t="shared" si="1"/>
        <v>85</v>
      </c>
      <c r="H7" s="10">
        <f>PRODUCTS!E7</f>
        <v>20</v>
      </c>
      <c r="I7" s="10" t="str">
        <f t="shared" si="2"/>
        <v>Sufficient</v>
      </c>
      <c r="J7" s="11">
        <f>PRODUCTS!F7</f>
        <v>22</v>
      </c>
      <c r="K7" s="10">
        <f t="shared" si="3"/>
        <v>1870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 t="str">
        <f>PRODUCTS!A8</f>
        <v>P007</v>
      </c>
      <c r="B8" s="10" t="str">
        <f>PRODUCTS!B8</f>
        <v>Tissue Pack</v>
      </c>
      <c r="C8" s="10">
        <f>PRODUCTS!D8</f>
        <v>200</v>
      </c>
      <c r="D8" s="10">
        <f>SUMIFS(STOCK_MOVEMENTS!$E:$E,STOCK_MOVEMENTS!$C:$C,$A8,STOCK_MOVEMENTS!$D:$D,"Receipt")</f>
        <v>50</v>
      </c>
      <c r="E8" s="10">
        <f>SUMIFS(STOCK_MOVEMENTS!$E:$E,STOCK_MOVEMENTS!$C:$C,$A8,STOCK_MOVEMENTS!$D:$D,"Issue")</f>
        <v>70</v>
      </c>
      <c r="F8" s="10">
        <f>SUMIFS(STOCK_MOVEMENTS!$E:$E,STOCK_MOVEMENTS!$C:$C,$A8,STOCK_MOVEMENTS!$D:$D,"Return")</f>
        <v>0</v>
      </c>
      <c r="G8" s="10">
        <f t="shared" si="1"/>
        <v>180</v>
      </c>
      <c r="H8" s="10">
        <f>PRODUCTS!E8</f>
        <v>50</v>
      </c>
      <c r="I8" s="10" t="str">
        <f t="shared" si="2"/>
        <v>Sufficient</v>
      </c>
      <c r="J8" s="11">
        <f>PRODUCTS!F8</f>
        <v>12</v>
      </c>
      <c r="K8" s="10">
        <f t="shared" si="3"/>
        <v>2160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 t="str">
        <f>PRODUCTS!A9</f>
        <v>P008</v>
      </c>
      <c r="B9" s="10" t="str">
        <f>PRODUCTS!B9</f>
        <v>Bottled Juice</v>
      </c>
      <c r="C9" s="10">
        <f>PRODUCTS!D9</f>
        <v>100</v>
      </c>
      <c r="D9" s="10">
        <f>SUMIFS(STOCK_MOVEMENTS!$E:$E,STOCK_MOVEMENTS!$C:$C,$A9,STOCK_MOVEMENTS!$D:$D,"Receipt")</f>
        <v>40</v>
      </c>
      <c r="E9" s="10">
        <f>SUMIFS(STOCK_MOVEMENTS!$E:$E,STOCK_MOVEMENTS!$C:$C,$A9,STOCK_MOVEMENTS!$D:$D,"Issue")</f>
        <v>35</v>
      </c>
      <c r="F9" s="10">
        <f>SUMIFS(STOCK_MOVEMENTS!$E:$E,STOCK_MOVEMENTS!$C:$C,$A9,STOCK_MOVEMENTS!$D:$D,"Return")</f>
        <v>0</v>
      </c>
      <c r="G9" s="10">
        <f t="shared" si="1"/>
        <v>105</v>
      </c>
      <c r="H9" s="10">
        <f>PRODUCTS!E9</f>
        <v>30</v>
      </c>
      <c r="I9" s="10" t="str">
        <f t="shared" si="2"/>
        <v>Sufficient</v>
      </c>
      <c r="J9" s="11">
        <f>PRODUCTS!F9</f>
        <v>8</v>
      </c>
      <c r="K9" s="10">
        <f t="shared" si="3"/>
        <v>840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 t="str">
        <f>PRODUCTS!A10</f>
        <v/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I2:I9">
    <cfRule type="containsText" dxfId="0" priority="1" operator="containsText" text="REORDER">
      <formula>NOT(ISERROR(SEARCH(("REORDER"),(I2))))</formula>
    </cfRule>
  </conditionalFormatting>
  <conditionalFormatting sqref="I2:I9">
    <cfRule type="containsText" dxfId="1" priority="2" operator="containsText" text="SUFFICIENT">
      <formula>NOT(ISERROR(SEARCH(("SUFFICIENT"),(I2))))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14.63"/>
    <col customWidth="1" min="3" max="3" width="5.25"/>
    <col customWidth="1" min="5" max="5" width="25.13"/>
  </cols>
  <sheetData>
    <row r="1">
      <c r="A1" s="12" t="s">
        <v>61</v>
      </c>
    </row>
    <row r="2">
      <c r="B2" s="5"/>
    </row>
    <row r="3">
      <c r="A3" s="13" t="s">
        <v>62</v>
      </c>
      <c r="D3" s="14" t="s">
        <v>63</v>
      </c>
    </row>
    <row r="4">
      <c r="A4" s="15">
        <f>COUNTA(STOCK_SUMMARY!A2:A9)</f>
        <v>8</v>
      </c>
      <c r="D4" s="16">
        <f>COUNTIF(STOCK_SUMMARY!I2:I9,"REORDER")</f>
        <v>0</v>
      </c>
    </row>
    <row r="6">
      <c r="A6" s="17" t="s">
        <v>64</v>
      </c>
      <c r="D6" s="18" t="s">
        <v>65</v>
      </c>
    </row>
    <row r="7">
      <c r="A7" s="19">
        <f>SUM(STOCK_SUMMARY!G2:G9)</f>
        <v>2280</v>
      </c>
      <c r="D7" s="20">
        <f>SUM(STOCK_SUMMARY!K2:K9)</f>
        <v>28080</v>
      </c>
    </row>
    <row r="13">
      <c r="A13" s="21"/>
    </row>
  </sheetData>
  <mergeCells count="9">
    <mergeCell ref="D7:E8"/>
    <mergeCell ref="D6:E6"/>
    <mergeCell ref="A1:K1"/>
    <mergeCell ref="A7:B8"/>
    <mergeCell ref="A6:B6"/>
    <mergeCell ref="A3:B3"/>
    <mergeCell ref="A4:B5"/>
    <mergeCell ref="D4:E5"/>
    <mergeCell ref="D3:E3"/>
  </mergeCells>
  <drawing r:id="rId1"/>
</worksheet>
</file>